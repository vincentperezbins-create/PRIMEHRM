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\Downloads\"/>
    </mc:Choice>
  </mc:AlternateContent>
  <bookViews>
    <workbookView xWindow="0" yWindow="0" windowWidth="23040" windowHeight="8556"/>
  </bookViews>
  <sheets>
    <sheet name="Raine-IPCRF" sheetId="9" r:id="rId1"/>
  </sheets>
  <calcPr calcId="162913" calcMode="autoNoTable"/>
</workbook>
</file>

<file path=xl/calcChain.xml><?xml version="1.0" encoding="utf-8"?>
<calcChain xmlns="http://schemas.openxmlformats.org/spreadsheetml/2006/main">
  <c r="M45" i="9" l="1"/>
  <c r="N45" i="9" s="1"/>
  <c r="N29" i="9"/>
  <c r="M17" i="9"/>
  <c r="N17" i="9" s="1"/>
  <c r="M29" i="9"/>
  <c r="N55" i="9"/>
  <c r="N84" i="9" l="1"/>
  <c r="K89" i="9" l="1"/>
  <c r="K90" i="9" s="1"/>
</calcChain>
</file>

<file path=xl/sharedStrings.xml><?xml version="1.0" encoding="utf-8"?>
<sst xmlns="http://schemas.openxmlformats.org/spreadsheetml/2006/main" count="126" uniqueCount="118">
  <si>
    <t>INDIVIDUAL PERFORMANCE COMMITMENT &amp; REVIEW FORM (IPCRF)</t>
  </si>
  <si>
    <t>MFOs</t>
  </si>
  <si>
    <t>KRAs</t>
  </si>
  <si>
    <t>OBJECTIVES</t>
  </si>
  <si>
    <t>T</t>
  </si>
  <si>
    <t>TIMELINE</t>
  </si>
  <si>
    <t>Weight per KRA</t>
  </si>
  <si>
    <t>Q</t>
  </si>
  <si>
    <t>E</t>
  </si>
  <si>
    <t>RATING</t>
  </si>
  <si>
    <t>SCORE</t>
  </si>
  <si>
    <t>Adjectival Rating Scale</t>
  </si>
  <si>
    <t>Ratee</t>
  </si>
  <si>
    <t>Rater</t>
  </si>
  <si>
    <t xml:space="preserve"> </t>
  </si>
  <si>
    <t>Quality</t>
  </si>
  <si>
    <t>Efficiency</t>
  </si>
  <si>
    <t>Timeliness</t>
  </si>
  <si>
    <t xml:space="preserve">PERFORMANCE INDICATOR </t>
  </si>
  <si>
    <t>5 -- 96-100% of memoranda/reports submitted have no errors/corrections</t>
  </si>
  <si>
    <t>4 -- 81-95% of memoranda/reports submitted have no errors/corrections</t>
  </si>
  <si>
    <t>3 -- 21-80% of memoranda/reports submitted have no errors/corrections</t>
  </si>
  <si>
    <t>2 -- 6-20% of memoranda/reports submitted have no errors/corrections</t>
  </si>
  <si>
    <t>1 -- 0-5% of memoranda/reports submitted have no errors/corrections</t>
  </si>
  <si>
    <t>5 -- 96-100% of PPATs were done efficiently</t>
  </si>
  <si>
    <t>4 -- 81-95% of PPATs were done efficiently</t>
  </si>
  <si>
    <t>3 -- 21-80% of PPATs were done efficiently</t>
  </si>
  <si>
    <t>2 -- 6-20% of PPATs were done efficiently</t>
  </si>
  <si>
    <t>1 -- 0-5% of PPATs were done efficiently</t>
  </si>
  <si>
    <t>5 -- 96-100% of report/compliance /activities were submitted/done in advance or on time</t>
  </si>
  <si>
    <t>4 -- 81-95% of report/compliance /activities were submitted/done in advance or on time</t>
  </si>
  <si>
    <t>3 -- 21-80% of report/compliance /activities were submitted/done in advance or on time</t>
  </si>
  <si>
    <t>2 -- 6-20% of report/compliance /activities were submitted/done in advance or on time</t>
  </si>
  <si>
    <t>1 -- 0-5% of report/compliance /activities were submitted/done in advance or on time</t>
  </si>
  <si>
    <t>ACTUAL RESULTS</t>
  </si>
  <si>
    <t>Ave.</t>
  </si>
  <si>
    <t>1. Kept a complete record of papers/documents received or released observing the following indicators:</t>
  </si>
  <si>
    <t>VERY SATISFACTORY</t>
  </si>
  <si>
    <t>4.500-5.000</t>
  </si>
  <si>
    <t>3.500-4.499</t>
  </si>
  <si>
    <t>2.500-3.499</t>
  </si>
  <si>
    <t>1.500-2.499</t>
  </si>
  <si>
    <t>1000-1.499</t>
  </si>
  <si>
    <t>OUTSTANDING</t>
  </si>
  <si>
    <t>SATISFACTORY</t>
  </si>
  <si>
    <t>UNSATISFACTORY</t>
  </si>
  <si>
    <t>POOR</t>
  </si>
  <si>
    <t>TOTAL SCORE</t>
  </si>
  <si>
    <t>DESCRIPTION</t>
  </si>
  <si>
    <t>5 -- activities were submitted/done in advance or on time</t>
  </si>
  <si>
    <t>3 -- activities were submitted/done nearly on time</t>
  </si>
  <si>
    <t>2 -- activities were submitted/done late</t>
  </si>
  <si>
    <t>1 -- activities were submitted/done very late</t>
  </si>
  <si>
    <t>4 -- activities were submitted/done on time</t>
  </si>
  <si>
    <t>3 -- activities were submitted/done with moderate number of wastes</t>
  </si>
  <si>
    <t xml:space="preserve">     a.  Organized</t>
  </si>
  <si>
    <t xml:space="preserve">     b.  Clear</t>
  </si>
  <si>
    <t xml:space="preserve">     c.  Updated</t>
  </si>
  <si>
    <t xml:space="preserve">     d.  Safe</t>
  </si>
  <si>
    <t>Provide technical assistance most of the time.</t>
  </si>
  <si>
    <t>96-100% of memoranda/reports submitted have no errors/corrections</t>
  </si>
  <si>
    <t>81-95% of PPATs were done efficiently</t>
  </si>
  <si>
    <t>81-95% of report/compliance /activities were submitted/done in advance or on time</t>
  </si>
  <si>
    <t>BASIC EDUCATION SERVICES</t>
  </si>
  <si>
    <t>5 -- activities were submitted/ done with no/ minimal error(s)</t>
  </si>
  <si>
    <t>5 -- activities were submitted/ done with no/ minimal waste(s)</t>
  </si>
  <si>
    <t>4 -- activities were submitted/ done with few number of errors</t>
  </si>
  <si>
    <t>4 -- activities were submitted/ done with some wastes</t>
  </si>
  <si>
    <t>3 -- activities were submitted/ done with moderate number of errors</t>
  </si>
  <si>
    <t>2 -- activities were submitted/ done with much wastes</t>
  </si>
  <si>
    <t>2 -- activities were submitted/ done with many errors</t>
  </si>
  <si>
    <t>1 -- activities were submitted/ done with full of errors</t>
  </si>
  <si>
    <t>1 -- activities were submitted/ done with too much wastes</t>
  </si>
  <si>
    <t>Activities were submitted/ done with no/ minimal error(s)</t>
  </si>
  <si>
    <t>Activities were submitted/ done with no/ minimal waste(s)</t>
  </si>
  <si>
    <t>Activities were submitted/done in advance or on time</t>
  </si>
  <si>
    <t xml:space="preserve">  CLERICAL SERVICES (20%)</t>
  </si>
  <si>
    <t>Monitored/ assessed most of the time</t>
  </si>
  <si>
    <t>OVER-ALL  RATING  FOR  ACCOMPLISHMENTS</t>
  </si>
  <si>
    <t>RATING  DESCRIPTION</t>
  </si>
  <si>
    <t xml:space="preserve">     5 -- monitored/assessed always</t>
  </si>
  <si>
    <t xml:space="preserve">     4 -- monitored/assessed most of the time</t>
  </si>
  <si>
    <t xml:space="preserve">     3 -- monitored/assessed once in a while</t>
  </si>
  <si>
    <t xml:space="preserve">     2 -- monitored/assessed when reminded</t>
  </si>
  <si>
    <t xml:space="preserve">     1 -- not monitored/assessed</t>
  </si>
  <si>
    <t xml:space="preserve">     5 -- Provided Technical Assistance always</t>
  </si>
  <si>
    <t xml:space="preserve">     4 -- Provided Technical Assistance most of the time</t>
  </si>
  <si>
    <t xml:space="preserve">     3 -- Provided Technical Assistance once in a while</t>
  </si>
  <si>
    <t xml:space="preserve">     2 -- Provided Technical Assistance when reminded</t>
  </si>
  <si>
    <t xml:space="preserve">     1 -- Not provided Technical Assistance</t>
  </si>
  <si>
    <t>96-100% of PPATs were done efficiently</t>
  </si>
  <si>
    <t xml:space="preserve">  </t>
  </si>
  <si>
    <t>TOTAL</t>
  </si>
  <si>
    <t xml:space="preserve">    ADMINISTRATIVE  SUPPORT  SERVICES (30%)</t>
  </si>
  <si>
    <t>TECHNICAL     ASSISTANCE  (25%)</t>
  </si>
  <si>
    <t>RECORDS MANAGEMENT (25%)</t>
  </si>
  <si>
    <r>
      <rPr>
        <i/>
        <sz val="12"/>
        <color theme="1"/>
        <rFont val="Calibri"/>
        <family val="2"/>
        <scheme val="minor"/>
      </rPr>
      <t>Name of Employee</t>
    </r>
    <r>
      <rPr>
        <sz val="12"/>
        <color theme="1"/>
        <rFont val="Calibri"/>
        <family val="2"/>
        <scheme val="minor"/>
      </rPr>
      <t xml:space="preserve">: </t>
    </r>
    <r>
      <rPr>
        <b/>
        <sz val="12"/>
        <color theme="1"/>
        <rFont val="Calibri"/>
        <family val="2"/>
        <scheme val="minor"/>
      </rPr>
      <t xml:space="preserve"> VINCENT R. PEREZ</t>
    </r>
  </si>
  <si>
    <t>Republic of the Philippines</t>
  </si>
  <si>
    <t>Department of Education</t>
  </si>
  <si>
    <t>Region I</t>
  </si>
  <si>
    <t>SCHOOLS DIVISION OFFICE I PANGASINAN</t>
  </si>
  <si>
    <t>LABRADOR CENTRAL SCHOOL</t>
  </si>
  <si>
    <t>LABRADOR, PANGASINAN</t>
  </si>
  <si>
    <t>VINCENT R. PEREZ</t>
  </si>
  <si>
    <r>
      <rPr>
        <i/>
        <sz val="12"/>
        <color theme="1"/>
        <rFont val="Calibri"/>
        <family val="2"/>
        <scheme val="minor"/>
      </rPr>
      <t>Position</t>
    </r>
    <r>
      <rPr>
        <sz val="12"/>
        <color theme="1"/>
        <rFont val="Calibri"/>
        <family val="2"/>
        <scheme val="minor"/>
      </rPr>
      <t xml:space="preserve">:  </t>
    </r>
    <r>
      <rPr>
        <b/>
        <u/>
        <sz val="12"/>
        <color theme="1"/>
        <rFont val="Calibri"/>
        <family val="2"/>
        <scheme val="minor"/>
      </rPr>
      <t>ADMINISTRATIVE  ASSISTANT II</t>
    </r>
  </si>
  <si>
    <r>
      <rPr>
        <i/>
        <sz val="12"/>
        <color theme="1"/>
        <rFont val="Calibri"/>
        <family val="2"/>
        <scheme val="minor"/>
      </rPr>
      <t>Review Period</t>
    </r>
    <r>
      <rPr>
        <sz val="12"/>
        <color theme="1"/>
        <rFont val="Calibri"/>
        <family val="2"/>
        <scheme val="minor"/>
      </rPr>
      <t xml:space="preserve">:  </t>
    </r>
    <r>
      <rPr>
        <b/>
        <u/>
        <sz val="12"/>
        <color theme="1"/>
        <rFont val="Calibri"/>
        <family val="2"/>
        <scheme val="minor"/>
      </rPr>
      <t>January-December 2025</t>
    </r>
  </si>
  <si>
    <r>
      <rPr>
        <i/>
        <sz val="12"/>
        <color theme="1"/>
        <rFont val="Calibri"/>
        <family val="2"/>
        <scheme val="minor"/>
      </rPr>
      <t>Bureau/Center/Service/Division</t>
    </r>
    <r>
      <rPr>
        <sz val="12"/>
        <color theme="1"/>
        <rFont val="Calibri"/>
        <family val="2"/>
        <scheme val="minor"/>
      </rPr>
      <t>: SDO 1 PANGASINAN</t>
    </r>
  </si>
  <si>
    <r>
      <rPr>
        <i/>
        <sz val="12"/>
        <color theme="1"/>
        <rFont val="Calibri"/>
        <family val="2"/>
        <scheme val="minor"/>
      </rPr>
      <t>Date of Review</t>
    </r>
    <r>
      <rPr>
        <sz val="12"/>
        <color theme="1"/>
        <rFont val="Calibri"/>
        <family val="2"/>
        <scheme val="minor"/>
      </rPr>
      <t>: January 7, 2026</t>
    </r>
  </si>
  <si>
    <r>
      <rPr>
        <i/>
        <sz val="12"/>
        <color theme="1"/>
        <rFont val="Calibri"/>
        <family val="2"/>
        <scheme val="minor"/>
      </rPr>
      <t>Position</t>
    </r>
    <r>
      <rPr>
        <sz val="12"/>
        <color theme="1"/>
        <rFont val="Calibri"/>
        <family val="2"/>
        <scheme val="minor"/>
      </rPr>
      <t>:  Chief Education Supervisor -SGOD</t>
    </r>
  </si>
  <si>
    <t xml:space="preserve"> Chief Education Supervisor -SGOD</t>
  </si>
  <si>
    <t>MICHAEL E. RAME, EdD</t>
  </si>
  <si>
    <t xml:space="preserve">Administrative Assistant II </t>
  </si>
  <si>
    <r>
      <rPr>
        <i/>
        <sz val="12"/>
        <color theme="1"/>
        <rFont val="Calibri"/>
        <family val="2"/>
        <scheme val="minor"/>
      </rPr>
      <t>Name of Rater</t>
    </r>
    <r>
      <rPr>
        <sz val="12"/>
        <color theme="1"/>
        <rFont val="Calibri"/>
        <family val="2"/>
        <scheme val="minor"/>
      </rPr>
      <t>:  MICHAEL E. RAME, EdD</t>
    </r>
  </si>
  <si>
    <t>JANUARY -DECEMBER 2025</t>
  </si>
  <si>
    <t>1. Performed 100% of the daily tasks assigned by the Unit Head with no delay vis a vis expected time to finish/submit.</t>
  </si>
  <si>
    <t>2. Assisted the Unit Head in the preparation of accurate reports and submit them on time as requested.</t>
  </si>
  <si>
    <t>Performed and submitted clerical works assigned by the Unit Head with correct and accurate data/information and submitted on time.</t>
  </si>
  <si>
    <t>Provide technical assistance and interventions to ensure the use of the correct template and the timely, accurate submission of reports by schools.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</si>
</sst>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50">
    <xf numFmtId="0" fontId="0" fillId="0" borderId="0" xfId="0"/>
    <xf numFmtId="0" fontId="1" fillId="0" borderId="0" xfId="0" applyFont="1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4" fillId="0" borderId="0" xfId="0" applyFont="1" applyAlignment="1">
      <alignment vertical="center"/>
    </xf>
    <xf numFmtId="0" fontId="9" fillId="0" borderId="9" xfId="0" applyFont="1" applyBorder="1" applyAlignment="1">
      <alignment wrapText="1"/>
    </xf>
    <xf numFmtId="0" fontId="7" fillId="0" borderId="31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9" fontId="7" fillId="0" borderId="5" xfId="0" applyNumberFormat="1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0" fillId="0" borderId="0" xfId="0" applyNumberFormat="1"/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164" fontId="0" fillId="0" borderId="2" xfId="0" applyNumberFormat="1" applyFont="1" applyBorder="1" applyAlignment="1">
      <alignment horizontal="center" vertical="center"/>
    </xf>
    <xf numFmtId="164" fontId="0" fillId="0" borderId="9" xfId="0" applyNumberFormat="1" applyFont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textRotation="255"/>
    </xf>
    <xf numFmtId="0" fontId="7" fillId="0" borderId="9" xfId="0" applyFont="1" applyBorder="1" applyAlignment="1">
      <alignment horizontal="center" vertical="center" textRotation="255"/>
    </xf>
    <xf numFmtId="0" fontId="7" fillId="0" borderId="3" xfId="0" applyFont="1" applyBorder="1" applyAlignment="1">
      <alignment horizontal="center" vertical="center" textRotation="255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9" fontId="7" fillId="0" borderId="2" xfId="1" applyFont="1" applyBorder="1" applyAlignment="1">
      <alignment horizontal="center" vertical="center"/>
    </xf>
    <xf numFmtId="9" fontId="7" fillId="0" borderId="9" xfId="1" applyFont="1" applyBorder="1" applyAlignment="1">
      <alignment horizontal="center" vertical="center"/>
    </xf>
    <xf numFmtId="9" fontId="7" fillId="0" borderId="3" xfId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36" xfId="0" applyFont="1" applyBorder="1" applyAlignment="1">
      <alignment horizontal="left" vertical="center"/>
    </xf>
    <xf numFmtId="0" fontId="9" fillId="0" borderId="34" xfId="0" applyFont="1" applyBorder="1" applyAlignment="1">
      <alignment horizontal="left" vertical="center"/>
    </xf>
    <xf numFmtId="0" fontId="9" fillId="0" borderId="37" xfId="0" applyFont="1" applyBorder="1" applyAlignment="1">
      <alignment horizontal="left" vertical="center"/>
    </xf>
    <xf numFmtId="9" fontId="7" fillId="0" borderId="2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0" fontId="3" fillId="0" borderId="38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left" vertical="center" wrapText="1"/>
    </xf>
    <xf numFmtId="0" fontId="3" fillId="0" borderId="35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164" fontId="1" fillId="0" borderId="28" xfId="0" applyNumberFormat="1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164" fontId="1" fillId="0" borderId="19" xfId="0" applyNumberFormat="1" applyFont="1" applyBorder="1" applyAlignment="1">
      <alignment horizontal="center"/>
    </xf>
    <xf numFmtId="164" fontId="1" fillId="0" borderId="20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9" fontId="7" fillId="0" borderId="4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textRotation="255" wrapText="1"/>
    </xf>
    <xf numFmtId="0" fontId="17" fillId="0" borderId="9" xfId="0" applyFont="1" applyBorder="1" applyAlignment="1">
      <alignment horizontal="center" vertical="center" textRotation="255" wrapText="1"/>
    </xf>
    <xf numFmtId="0" fontId="17" fillId="0" borderId="3" xfId="0" applyFont="1" applyBorder="1" applyAlignment="1">
      <alignment horizontal="center" vertical="center" textRotation="255" wrapText="1"/>
    </xf>
    <xf numFmtId="9" fontId="7" fillId="0" borderId="8" xfId="0" applyNumberFormat="1" applyFont="1" applyBorder="1" applyAlignment="1">
      <alignment horizontal="center" vertical="center"/>
    </xf>
    <xf numFmtId="9" fontId="7" fillId="0" borderId="10" xfId="0" applyNumberFormat="1" applyFont="1" applyBorder="1" applyAlignment="1">
      <alignment horizontal="center" vertical="center"/>
    </xf>
    <xf numFmtId="0" fontId="9" fillId="0" borderId="15" xfId="0" applyFont="1" applyFill="1" applyBorder="1" applyAlignment="1">
      <alignment horizontal="left" vertical="center" wrapText="1"/>
    </xf>
    <xf numFmtId="0" fontId="9" fillId="0" borderId="25" xfId="0" applyFont="1" applyFill="1" applyBorder="1" applyAlignment="1">
      <alignment horizontal="left" vertical="center" wrapText="1"/>
    </xf>
    <xf numFmtId="0" fontId="9" fillId="0" borderId="16" xfId="0" applyFont="1" applyFill="1" applyBorder="1" applyAlignment="1">
      <alignment horizontal="left" vertical="center" wrapText="1"/>
    </xf>
    <xf numFmtId="164" fontId="7" fillId="0" borderId="4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164" fontId="9" fillId="0" borderId="2" xfId="0" applyNumberFormat="1" applyFont="1" applyBorder="1" applyAlignment="1">
      <alignment horizontal="center" vertical="center"/>
    </xf>
    <xf numFmtId="164" fontId="9" fillId="0" borderId="9" xfId="0" applyNumberFormat="1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2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9" fillId="0" borderId="17" xfId="0" applyFont="1" applyFill="1" applyBorder="1" applyAlignment="1">
      <alignment horizontal="left" vertical="center" wrapText="1"/>
    </xf>
    <xf numFmtId="0" fontId="9" fillId="0" borderId="14" xfId="0" applyFont="1" applyFill="1" applyBorder="1" applyAlignment="1">
      <alignment horizontal="left" vertical="center" wrapText="1"/>
    </xf>
    <xf numFmtId="0" fontId="9" fillId="0" borderId="18" xfId="0" applyFont="1" applyFill="1" applyBorder="1" applyAlignment="1">
      <alignment horizontal="left" vertical="center" wrapText="1"/>
    </xf>
    <xf numFmtId="0" fontId="9" fillId="0" borderId="30" xfId="0" applyFont="1" applyFill="1" applyBorder="1" applyAlignment="1">
      <alignment horizontal="left" vertical="center" wrapText="1"/>
    </xf>
    <xf numFmtId="0" fontId="9" fillId="0" borderId="29" xfId="0" applyFont="1" applyFill="1" applyBorder="1" applyAlignment="1">
      <alignment horizontal="left" vertical="center" wrapText="1"/>
    </xf>
    <xf numFmtId="0" fontId="9" fillId="0" borderId="24" xfId="0" applyFont="1" applyFill="1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438151</xdr:colOff>
      <xdr:row>0</xdr:row>
      <xdr:rowOff>76200</xdr:rowOff>
    </xdr:from>
    <xdr:to>
      <xdr:col>2</xdr:col>
      <xdr:colOff>2383</xdr:colOff>
      <xdr:row>5</xdr:row>
      <xdr:rowOff>89536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14451" y="76200"/>
          <a:ext cx="831056" cy="822961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1192752</xdr:colOff>
      <xdr:row>0</xdr:row>
      <xdr:rowOff>76200</xdr:rowOff>
    </xdr:from>
    <xdr:to>
      <xdr:col>10</xdr:col>
      <xdr:colOff>6303</xdr:colOff>
      <xdr:row>6</xdr:row>
      <xdr:rowOff>20128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844502" y="76200"/>
          <a:ext cx="1593793" cy="89642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02"/>
  <sheetViews>
    <sheetView tabSelected="1" topLeftCell="A74" zoomScaleNormal="100" workbookViewId="0">
      <selection activeCell="F86" sqref="F86:H86"/>
    </sheetView>
  </sheetViews>
  <sheetFormatPr defaultColWidth="9.109375" defaultRowHeight="14.4" x14ac:dyDescent="0.3"/>
  <cols>
    <col min="1" max="1" width="8.44140625" customWidth="1"/>
    <col min="2" max="2" width="17.6640625" customWidth="1"/>
    <col min="3" max="3" width="19.44140625" customWidth="1"/>
    <col min="4" max="4" width="14.109375" customWidth="1"/>
    <col min="5" max="5" width="7.77734375" customWidth="1"/>
    <col min="6" max="7" width="16.6640625" customWidth="1"/>
    <col min="8" max="8" width="16.88671875" customWidth="1"/>
    <col min="9" max="9" width="16.44140625" customWidth="1"/>
    <col min="10" max="11" width="5.44140625" customWidth="1"/>
    <col min="12" max="13" width="5.5546875" customWidth="1"/>
    <col min="14" max="14" width="7" customWidth="1"/>
  </cols>
  <sheetData>
    <row r="1" spans="1:14" ht="12.9" customHeight="1" x14ac:dyDescent="0.3">
      <c r="A1" s="133" t="s">
        <v>97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</row>
    <row r="2" spans="1:14" ht="12.9" customHeight="1" x14ac:dyDescent="0.3">
      <c r="A2" s="134" t="s">
        <v>98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</row>
    <row r="3" spans="1:14" ht="12.9" customHeight="1" x14ac:dyDescent="0.3">
      <c r="A3" s="133" t="s">
        <v>99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</row>
    <row r="4" spans="1:14" ht="12.9" customHeight="1" x14ac:dyDescent="0.3">
      <c r="A4" s="134" t="s">
        <v>100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</row>
    <row r="5" spans="1:14" ht="12.9" customHeight="1" x14ac:dyDescent="0.3">
      <c r="A5" s="135" t="s">
        <v>101</v>
      </c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</row>
    <row r="6" spans="1:14" ht="12.9" customHeight="1" x14ac:dyDescent="0.3">
      <c r="A6" s="134" t="s">
        <v>102</v>
      </c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</row>
    <row r="7" spans="1:14" ht="10.65" customHeight="1" x14ac:dyDescent="0.3"/>
    <row r="8" spans="1:14" s="24" customFormat="1" ht="21.6" customHeight="1" x14ac:dyDescent="0.3">
      <c r="A8" s="138" t="s">
        <v>0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</row>
    <row r="10" spans="1:14" ht="15.6" x14ac:dyDescent="0.3">
      <c r="A10" s="8" t="s">
        <v>96</v>
      </c>
      <c r="G10" s="8" t="s">
        <v>112</v>
      </c>
    </row>
    <row r="11" spans="1:14" ht="15.6" x14ac:dyDescent="0.3">
      <c r="A11" s="8" t="s">
        <v>104</v>
      </c>
      <c r="G11" s="8" t="s">
        <v>108</v>
      </c>
    </row>
    <row r="12" spans="1:14" ht="15.6" x14ac:dyDescent="0.3">
      <c r="A12" s="8" t="s">
        <v>105</v>
      </c>
      <c r="G12" s="8" t="s">
        <v>107</v>
      </c>
    </row>
    <row r="13" spans="1:14" ht="15.6" x14ac:dyDescent="0.3">
      <c r="A13" s="8" t="s">
        <v>106</v>
      </c>
    </row>
    <row r="14" spans="1:14" ht="10.65" customHeight="1" thickBot="1" x14ac:dyDescent="0.35"/>
    <row r="15" spans="1:14" ht="15.75" customHeight="1" thickBot="1" x14ac:dyDescent="0.35">
      <c r="A15" s="98" t="s">
        <v>1</v>
      </c>
      <c r="B15" s="98" t="s">
        <v>2</v>
      </c>
      <c r="C15" s="98" t="s">
        <v>3</v>
      </c>
      <c r="D15" s="98" t="s">
        <v>5</v>
      </c>
      <c r="E15" s="100" t="s">
        <v>6</v>
      </c>
      <c r="F15" s="139" t="s">
        <v>18</v>
      </c>
      <c r="G15" s="140"/>
      <c r="H15" s="141"/>
      <c r="I15" s="37" t="s">
        <v>34</v>
      </c>
      <c r="J15" s="112" t="s">
        <v>9</v>
      </c>
      <c r="K15" s="113"/>
      <c r="L15" s="113"/>
      <c r="M15" s="114"/>
      <c r="N15" s="98" t="s">
        <v>10</v>
      </c>
    </row>
    <row r="16" spans="1:14" ht="16.2" thickBot="1" x14ac:dyDescent="0.35">
      <c r="A16" s="99"/>
      <c r="B16" s="99"/>
      <c r="C16" s="99"/>
      <c r="D16" s="99"/>
      <c r="E16" s="101"/>
      <c r="F16" s="26" t="s">
        <v>15</v>
      </c>
      <c r="G16" s="27" t="s">
        <v>16</v>
      </c>
      <c r="H16" s="28" t="s">
        <v>17</v>
      </c>
      <c r="I16" s="39"/>
      <c r="J16" s="29" t="s">
        <v>7</v>
      </c>
      <c r="K16" s="29" t="s">
        <v>8</v>
      </c>
      <c r="L16" s="29" t="s">
        <v>4</v>
      </c>
      <c r="M16" s="29" t="s">
        <v>35</v>
      </c>
      <c r="N16" s="99"/>
    </row>
    <row r="17" spans="1:15" ht="15" customHeight="1" x14ac:dyDescent="0.3">
      <c r="A17" s="116" t="s">
        <v>63</v>
      </c>
      <c r="B17" s="37" t="s">
        <v>93</v>
      </c>
      <c r="C17" s="56" t="s">
        <v>114</v>
      </c>
      <c r="D17" s="53" t="s">
        <v>113</v>
      </c>
      <c r="E17" s="79">
        <v>0.2</v>
      </c>
      <c r="F17" s="92" t="s">
        <v>19</v>
      </c>
      <c r="G17" s="128" t="s">
        <v>24</v>
      </c>
      <c r="H17" s="129" t="s">
        <v>29</v>
      </c>
      <c r="I17" s="80" t="s">
        <v>60</v>
      </c>
      <c r="J17" s="42">
        <v>5</v>
      </c>
      <c r="K17" s="42">
        <v>5</v>
      </c>
      <c r="L17" s="42">
        <v>5</v>
      </c>
      <c r="M17" s="42">
        <f>AVERAGE(J17:L28)</f>
        <v>5</v>
      </c>
      <c r="N17" s="130">
        <f>M17*0.2</f>
        <v>1</v>
      </c>
    </row>
    <row r="18" spans="1:15" ht="15" customHeight="1" x14ac:dyDescent="0.3">
      <c r="A18" s="117"/>
      <c r="B18" s="38"/>
      <c r="C18" s="57"/>
      <c r="D18" s="54"/>
      <c r="E18" s="38"/>
      <c r="F18" s="83"/>
      <c r="G18" s="84"/>
      <c r="H18" s="85"/>
      <c r="I18" s="81"/>
      <c r="J18" s="43"/>
      <c r="K18" s="43"/>
      <c r="L18" s="43"/>
      <c r="M18" s="43"/>
      <c r="N18" s="131"/>
    </row>
    <row r="19" spans="1:15" ht="15" customHeight="1" x14ac:dyDescent="0.3">
      <c r="A19" s="117"/>
      <c r="B19" s="38"/>
      <c r="C19" s="57"/>
      <c r="D19" s="54"/>
      <c r="E19" s="38"/>
      <c r="F19" s="83"/>
      <c r="G19" s="84"/>
      <c r="H19" s="85"/>
      <c r="I19" s="81"/>
      <c r="J19" s="43"/>
      <c r="K19" s="43"/>
      <c r="L19" s="43"/>
      <c r="M19" s="43"/>
      <c r="N19" s="131"/>
    </row>
    <row r="20" spans="1:15" ht="15" customHeight="1" x14ac:dyDescent="0.3">
      <c r="A20" s="117"/>
      <c r="B20" s="38"/>
      <c r="C20" s="57"/>
      <c r="D20" s="54"/>
      <c r="E20" s="38"/>
      <c r="F20" s="83"/>
      <c r="G20" s="84"/>
      <c r="H20" s="85"/>
      <c r="I20" s="81"/>
      <c r="J20" s="43"/>
      <c r="K20" s="43"/>
      <c r="L20" s="43"/>
      <c r="M20" s="43"/>
      <c r="N20" s="131"/>
    </row>
    <row r="21" spans="1:15" ht="15" customHeight="1" x14ac:dyDescent="0.3">
      <c r="A21" s="117"/>
      <c r="B21" s="38"/>
      <c r="C21" s="57"/>
      <c r="D21" s="54"/>
      <c r="E21" s="38"/>
      <c r="F21" s="83" t="s">
        <v>20</v>
      </c>
      <c r="G21" s="84" t="s">
        <v>25</v>
      </c>
      <c r="H21" s="85" t="s">
        <v>30</v>
      </c>
      <c r="I21" s="81" t="s">
        <v>90</v>
      </c>
      <c r="J21" s="43"/>
      <c r="K21" s="43"/>
      <c r="L21" s="43"/>
      <c r="M21" s="43"/>
      <c r="N21" s="131"/>
    </row>
    <row r="22" spans="1:15" ht="15" customHeight="1" x14ac:dyDescent="0.3">
      <c r="A22" s="117"/>
      <c r="B22" s="38"/>
      <c r="C22" s="57"/>
      <c r="D22" s="54"/>
      <c r="E22" s="38"/>
      <c r="F22" s="83"/>
      <c r="G22" s="84"/>
      <c r="H22" s="85"/>
      <c r="I22" s="81"/>
      <c r="J22" s="43"/>
      <c r="K22" s="43"/>
      <c r="L22" s="43"/>
      <c r="M22" s="43"/>
      <c r="N22" s="131"/>
    </row>
    <row r="23" spans="1:15" ht="15" customHeight="1" x14ac:dyDescent="0.3">
      <c r="A23" s="117"/>
      <c r="B23" s="38"/>
      <c r="C23" s="57"/>
      <c r="D23" s="54"/>
      <c r="E23" s="38"/>
      <c r="F23" s="83"/>
      <c r="G23" s="84"/>
      <c r="H23" s="85"/>
      <c r="I23" s="81"/>
      <c r="J23" s="43"/>
      <c r="K23" s="43"/>
      <c r="L23" s="43"/>
      <c r="M23" s="43"/>
      <c r="N23" s="131"/>
      <c r="O23" s="36"/>
    </row>
    <row r="24" spans="1:15" ht="15" customHeight="1" x14ac:dyDescent="0.3">
      <c r="A24" s="117"/>
      <c r="B24" s="38"/>
      <c r="C24" s="57"/>
      <c r="D24" s="54"/>
      <c r="E24" s="38"/>
      <c r="F24" s="83"/>
      <c r="G24" s="84"/>
      <c r="H24" s="85"/>
      <c r="I24" s="81" t="s">
        <v>62</v>
      </c>
      <c r="J24" s="43"/>
      <c r="K24" s="43"/>
      <c r="L24" s="43"/>
      <c r="M24" s="43"/>
      <c r="N24" s="131"/>
      <c r="O24" s="36"/>
    </row>
    <row r="25" spans="1:15" ht="15" customHeight="1" x14ac:dyDescent="0.3">
      <c r="A25" s="117"/>
      <c r="B25" s="38"/>
      <c r="C25" s="57"/>
      <c r="D25" s="54"/>
      <c r="E25" s="38"/>
      <c r="F25" s="83" t="s">
        <v>21</v>
      </c>
      <c r="G25" s="84" t="s">
        <v>26</v>
      </c>
      <c r="H25" s="85" t="s">
        <v>31</v>
      </c>
      <c r="I25" s="81"/>
      <c r="J25" s="43"/>
      <c r="K25" s="43"/>
      <c r="L25" s="43"/>
      <c r="M25" s="43"/>
      <c r="N25" s="131"/>
    </row>
    <row r="26" spans="1:15" ht="15" customHeight="1" x14ac:dyDescent="0.3">
      <c r="A26" s="117"/>
      <c r="B26" s="38"/>
      <c r="C26" s="57"/>
      <c r="D26" s="54"/>
      <c r="E26" s="38"/>
      <c r="F26" s="83"/>
      <c r="G26" s="84"/>
      <c r="H26" s="85"/>
      <c r="I26" s="81"/>
      <c r="J26" s="43"/>
      <c r="K26" s="43"/>
      <c r="L26" s="43"/>
      <c r="M26" s="43"/>
      <c r="N26" s="131"/>
    </row>
    <row r="27" spans="1:15" ht="15" customHeight="1" x14ac:dyDescent="0.3">
      <c r="A27" s="117"/>
      <c r="B27" s="38"/>
      <c r="C27" s="57"/>
      <c r="D27" s="54"/>
      <c r="E27" s="38"/>
      <c r="F27" s="83"/>
      <c r="G27" s="84"/>
      <c r="H27" s="85"/>
      <c r="I27" s="81"/>
      <c r="J27" s="43"/>
      <c r="K27" s="43"/>
      <c r="L27" s="43"/>
      <c r="M27" s="43"/>
      <c r="N27" s="131"/>
    </row>
    <row r="28" spans="1:15" ht="15.75" customHeight="1" thickBot="1" x14ac:dyDescent="0.35">
      <c r="A28" s="117"/>
      <c r="B28" s="38"/>
      <c r="C28" s="58"/>
      <c r="D28" s="55"/>
      <c r="E28" s="39"/>
      <c r="F28" s="83"/>
      <c r="G28" s="84"/>
      <c r="H28" s="85"/>
      <c r="I28" s="82"/>
      <c r="J28" s="44"/>
      <c r="K28" s="44"/>
      <c r="L28" s="44"/>
      <c r="M28" s="44"/>
      <c r="N28" s="132"/>
    </row>
    <row r="29" spans="1:15" ht="15" customHeight="1" x14ac:dyDescent="0.3">
      <c r="A29" s="117"/>
      <c r="B29" s="38"/>
      <c r="C29" s="56" t="s">
        <v>115</v>
      </c>
      <c r="D29" s="53" t="s">
        <v>113</v>
      </c>
      <c r="E29" s="79">
        <v>0.1</v>
      </c>
      <c r="F29" s="83" t="s">
        <v>22</v>
      </c>
      <c r="G29" s="84" t="s">
        <v>27</v>
      </c>
      <c r="H29" s="85" t="s">
        <v>32</v>
      </c>
      <c r="I29" s="80" t="s">
        <v>60</v>
      </c>
      <c r="J29" s="42">
        <v>5</v>
      </c>
      <c r="K29" s="42">
        <v>5</v>
      </c>
      <c r="L29" s="42">
        <v>5</v>
      </c>
      <c r="M29" s="42">
        <f>AVERAGE(J29:L40)</f>
        <v>5</v>
      </c>
      <c r="N29" s="42">
        <f>M29*E29</f>
        <v>0.5</v>
      </c>
    </row>
    <row r="30" spans="1:15" x14ac:dyDescent="0.3">
      <c r="A30" s="117"/>
      <c r="B30" s="38"/>
      <c r="C30" s="57"/>
      <c r="D30" s="54"/>
      <c r="E30" s="38"/>
      <c r="F30" s="83"/>
      <c r="G30" s="84"/>
      <c r="H30" s="85"/>
      <c r="I30" s="81"/>
      <c r="J30" s="43"/>
      <c r="K30" s="43"/>
      <c r="L30" s="43"/>
      <c r="M30" s="43"/>
      <c r="N30" s="43"/>
    </row>
    <row r="31" spans="1:15" ht="15" customHeight="1" x14ac:dyDescent="0.3">
      <c r="A31" s="117"/>
      <c r="B31" s="38"/>
      <c r="C31" s="57"/>
      <c r="D31" s="54"/>
      <c r="E31" s="38"/>
      <c r="F31" s="83"/>
      <c r="G31" s="84"/>
      <c r="H31" s="85"/>
      <c r="I31" s="81"/>
      <c r="J31" s="43"/>
      <c r="K31" s="43"/>
      <c r="L31" s="43"/>
      <c r="M31" s="43"/>
      <c r="N31" s="43"/>
    </row>
    <row r="32" spans="1:15" x14ac:dyDescent="0.3">
      <c r="A32" s="117"/>
      <c r="B32" s="38"/>
      <c r="C32" s="57"/>
      <c r="D32" s="54"/>
      <c r="E32" s="38"/>
      <c r="F32" s="83"/>
      <c r="G32" s="84"/>
      <c r="H32" s="85"/>
      <c r="I32" s="81"/>
      <c r="J32" s="43"/>
      <c r="K32" s="43"/>
      <c r="L32" s="43"/>
      <c r="M32" s="43"/>
      <c r="N32" s="43"/>
    </row>
    <row r="33" spans="1:15" ht="15" customHeight="1" x14ac:dyDescent="0.3">
      <c r="A33" s="117"/>
      <c r="B33" s="38"/>
      <c r="C33" s="57"/>
      <c r="D33" s="54"/>
      <c r="E33" s="38"/>
      <c r="F33" s="86" t="s">
        <v>23</v>
      </c>
      <c r="G33" s="88" t="s">
        <v>28</v>
      </c>
      <c r="H33" s="90" t="s">
        <v>33</v>
      </c>
      <c r="I33" s="81" t="s">
        <v>61</v>
      </c>
      <c r="J33" s="43"/>
      <c r="K33" s="43"/>
      <c r="L33" s="43"/>
      <c r="M33" s="43"/>
      <c r="N33" s="43"/>
    </row>
    <row r="34" spans="1:15" x14ac:dyDescent="0.3">
      <c r="A34" s="117"/>
      <c r="B34" s="38"/>
      <c r="C34" s="57"/>
      <c r="D34" s="54"/>
      <c r="E34" s="38"/>
      <c r="F34" s="87"/>
      <c r="G34" s="89"/>
      <c r="H34" s="91"/>
      <c r="I34" s="81"/>
      <c r="J34" s="43"/>
      <c r="K34" s="43"/>
      <c r="L34" s="43"/>
      <c r="M34" s="43"/>
      <c r="N34" s="43"/>
    </row>
    <row r="35" spans="1:15" ht="15" customHeight="1" x14ac:dyDescent="0.3">
      <c r="A35" s="117"/>
      <c r="B35" s="38"/>
      <c r="C35" s="57"/>
      <c r="D35" s="54"/>
      <c r="E35" s="38"/>
      <c r="F35" s="87"/>
      <c r="G35" s="89"/>
      <c r="H35" s="91"/>
      <c r="I35" s="81"/>
      <c r="J35" s="43"/>
      <c r="K35" s="43"/>
      <c r="L35" s="43"/>
      <c r="M35" s="43"/>
      <c r="N35" s="43"/>
      <c r="O35" s="36"/>
    </row>
    <row r="36" spans="1:15" x14ac:dyDescent="0.3">
      <c r="A36" s="117"/>
      <c r="B36" s="38"/>
      <c r="C36" s="57"/>
      <c r="D36" s="54"/>
      <c r="E36" s="38"/>
      <c r="F36" s="87"/>
      <c r="G36" s="89"/>
      <c r="H36" s="91"/>
      <c r="I36" s="81" t="s">
        <v>62</v>
      </c>
      <c r="J36" s="43"/>
      <c r="K36" s="43"/>
      <c r="L36" s="43"/>
      <c r="M36" s="43"/>
      <c r="N36" s="43"/>
    </row>
    <row r="37" spans="1:15" ht="15" customHeight="1" x14ac:dyDescent="0.3">
      <c r="A37" s="117"/>
      <c r="B37" s="38"/>
      <c r="C37" s="57"/>
      <c r="D37" s="54"/>
      <c r="E37" s="38"/>
      <c r="F37" s="19"/>
      <c r="G37" s="18"/>
      <c r="H37" s="20"/>
      <c r="I37" s="81"/>
      <c r="J37" s="43"/>
      <c r="K37" s="43"/>
      <c r="L37" s="43"/>
      <c r="M37" s="43"/>
      <c r="N37" s="43"/>
    </row>
    <row r="38" spans="1:15" x14ac:dyDescent="0.3">
      <c r="A38" s="117"/>
      <c r="B38" s="38"/>
      <c r="C38" s="57"/>
      <c r="D38" s="54"/>
      <c r="E38" s="38"/>
      <c r="F38" s="19"/>
      <c r="G38" s="18"/>
      <c r="H38" s="20"/>
      <c r="I38" s="81"/>
      <c r="J38" s="43"/>
      <c r="K38" s="43"/>
      <c r="L38" s="43"/>
      <c r="M38" s="43"/>
      <c r="N38" s="43"/>
    </row>
    <row r="39" spans="1:15" ht="15" customHeight="1" x14ac:dyDescent="0.3">
      <c r="A39" s="117"/>
      <c r="B39" s="38"/>
      <c r="C39" s="57"/>
      <c r="D39" s="54"/>
      <c r="E39" s="38"/>
      <c r="F39" s="19"/>
      <c r="G39" s="18"/>
      <c r="H39" s="20"/>
      <c r="I39" s="81"/>
      <c r="J39" s="43"/>
      <c r="K39" s="43"/>
      <c r="L39" s="43"/>
      <c r="M39" s="43"/>
      <c r="N39" s="43"/>
    </row>
    <row r="40" spans="1:15" ht="15" thickBot="1" x14ac:dyDescent="0.35">
      <c r="A40" s="118"/>
      <c r="B40" s="39"/>
      <c r="C40" s="58"/>
      <c r="D40" s="55"/>
      <c r="E40" s="39"/>
      <c r="F40" s="21"/>
      <c r="G40" s="22"/>
      <c r="H40" s="23"/>
      <c r="I40" s="82"/>
      <c r="J40" s="44"/>
      <c r="K40" s="44"/>
      <c r="L40" s="44"/>
      <c r="M40" s="44"/>
      <c r="N40" s="44"/>
    </row>
    <row r="41" spans="1:15" x14ac:dyDescent="0.3">
      <c r="A41" s="16"/>
      <c r="B41" s="16"/>
      <c r="C41" s="16"/>
      <c r="D41" s="16"/>
      <c r="E41" s="3"/>
      <c r="F41" s="17"/>
      <c r="G41" s="17"/>
      <c r="H41" s="17"/>
      <c r="I41" s="3"/>
      <c r="J41" s="16"/>
      <c r="K41" s="16"/>
      <c r="L41" s="16"/>
      <c r="M41" s="16"/>
      <c r="N41" s="16"/>
    </row>
    <row r="42" spans="1:15" x14ac:dyDescent="0.3">
      <c r="A42" s="16"/>
      <c r="B42" s="16"/>
      <c r="C42" s="16"/>
      <c r="D42" s="16"/>
      <c r="E42" s="3"/>
      <c r="F42" s="17"/>
      <c r="G42" s="17"/>
      <c r="H42" s="17"/>
      <c r="I42" s="3"/>
      <c r="J42" s="16"/>
      <c r="K42" s="16"/>
      <c r="L42" s="16"/>
      <c r="M42" s="16"/>
      <c r="N42" s="16"/>
    </row>
    <row r="43" spans="1:15" x14ac:dyDescent="0.3">
      <c r="A43" s="16"/>
      <c r="B43" s="16"/>
      <c r="C43" s="16"/>
      <c r="D43" s="16"/>
      <c r="E43" s="3"/>
      <c r="F43" s="17"/>
      <c r="G43" s="17"/>
      <c r="H43" s="17"/>
      <c r="I43" s="3"/>
      <c r="J43" s="16"/>
      <c r="K43" s="16"/>
      <c r="L43" s="16"/>
      <c r="M43" s="16"/>
      <c r="N43" s="16"/>
    </row>
    <row r="44" spans="1:15" ht="15" thickBot="1" x14ac:dyDescent="0.35">
      <c r="A44" s="16"/>
      <c r="B44" s="16"/>
      <c r="C44" s="16"/>
      <c r="D44" s="16"/>
      <c r="E44" s="3"/>
      <c r="F44" s="17"/>
      <c r="G44" s="17"/>
      <c r="H44" s="17"/>
      <c r="I44" s="3"/>
      <c r="J44" s="16"/>
      <c r="K44" s="16"/>
      <c r="L44" s="16"/>
      <c r="M44" s="16"/>
      <c r="N44" s="16"/>
    </row>
    <row r="45" spans="1:15" ht="15" customHeight="1" x14ac:dyDescent="0.3">
      <c r="A45" s="45" t="s">
        <v>63</v>
      </c>
      <c r="B45" s="37" t="s">
        <v>95</v>
      </c>
      <c r="C45" s="48" t="s">
        <v>36</v>
      </c>
      <c r="D45" s="53" t="s">
        <v>113</v>
      </c>
      <c r="E45" s="50">
        <v>0.25</v>
      </c>
      <c r="F45" s="67" t="s">
        <v>80</v>
      </c>
      <c r="G45" s="68"/>
      <c r="H45" s="69"/>
      <c r="I45" s="65" t="s">
        <v>77</v>
      </c>
      <c r="J45" s="42">
        <v>5</v>
      </c>
      <c r="K45" s="42">
        <v>4.9800000000000004</v>
      </c>
      <c r="L45" s="42">
        <v>4.8</v>
      </c>
      <c r="M45" s="42">
        <f>AVERAGE(J45:L54)</f>
        <v>4.9266666666666667</v>
      </c>
      <c r="N45" s="42">
        <f>M45*E45</f>
        <v>1.2316666666666667</v>
      </c>
    </row>
    <row r="46" spans="1:15" ht="15" customHeight="1" x14ac:dyDescent="0.3">
      <c r="A46" s="46"/>
      <c r="B46" s="38"/>
      <c r="C46" s="49"/>
      <c r="D46" s="54"/>
      <c r="E46" s="51"/>
      <c r="F46" s="70"/>
      <c r="G46" s="71"/>
      <c r="H46" s="72"/>
      <c r="I46" s="64"/>
      <c r="J46" s="43"/>
      <c r="K46" s="43"/>
      <c r="L46" s="43"/>
      <c r="M46" s="43"/>
      <c r="N46" s="43"/>
    </row>
    <row r="47" spans="1:15" ht="15" customHeight="1" x14ac:dyDescent="0.3">
      <c r="A47" s="46"/>
      <c r="B47" s="38"/>
      <c r="C47" s="49"/>
      <c r="D47" s="54"/>
      <c r="E47" s="51"/>
      <c r="F47" s="73" t="s">
        <v>81</v>
      </c>
      <c r="G47" s="74"/>
      <c r="H47" s="75"/>
      <c r="I47" s="64"/>
      <c r="J47" s="43"/>
      <c r="K47" s="43"/>
      <c r="L47" s="43"/>
      <c r="M47" s="43"/>
      <c r="N47" s="43"/>
    </row>
    <row r="48" spans="1:15" ht="15" customHeight="1" x14ac:dyDescent="0.3">
      <c r="A48" s="46"/>
      <c r="B48" s="38"/>
      <c r="C48" s="49"/>
      <c r="D48" s="54"/>
      <c r="E48" s="51"/>
      <c r="F48" s="73"/>
      <c r="G48" s="74"/>
      <c r="H48" s="75"/>
      <c r="I48" s="64"/>
      <c r="J48" s="43"/>
      <c r="K48" s="43"/>
      <c r="L48" s="43"/>
      <c r="M48" s="43"/>
      <c r="N48" s="43"/>
    </row>
    <row r="49" spans="1:14" ht="15" customHeight="1" x14ac:dyDescent="0.3">
      <c r="A49" s="46"/>
      <c r="B49" s="38"/>
      <c r="C49" s="49"/>
      <c r="D49" s="54"/>
      <c r="E49" s="51"/>
      <c r="F49" s="73" t="s">
        <v>82</v>
      </c>
      <c r="G49" s="74"/>
      <c r="H49" s="75"/>
      <c r="I49" s="64"/>
      <c r="J49" s="43"/>
      <c r="K49" s="43"/>
      <c r="L49" s="43"/>
      <c r="M49" s="43"/>
      <c r="N49" s="43"/>
    </row>
    <row r="50" spans="1:14" ht="42.6" customHeight="1" x14ac:dyDescent="0.3">
      <c r="A50" s="46"/>
      <c r="B50" s="38"/>
      <c r="C50" s="49"/>
      <c r="D50" s="54"/>
      <c r="E50" s="51"/>
      <c r="F50" s="73"/>
      <c r="G50" s="74"/>
      <c r="H50" s="75"/>
      <c r="I50" s="64"/>
      <c r="J50" s="43"/>
      <c r="K50" s="43"/>
      <c r="L50" s="43"/>
      <c r="M50" s="43"/>
      <c r="N50" s="43"/>
    </row>
    <row r="51" spans="1:14" s="2" customFormat="1" ht="15" customHeight="1" x14ac:dyDescent="0.3">
      <c r="A51" s="46"/>
      <c r="B51" s="38"/>
      <c r="C51" s="25" t="s">
        <v>55</v>
      </c>
      <c r="D51" s="54"/>
      <c r="E51" s="51"/>
      <c r="F51" s="73" t="s">
        <v>83</v>
      </c>
      <c r="G51" s="74"/>
      <c r="H51" s="75"/>
      <c r="I51" s="64"/>
      <c r="J51" s="43"/>
      <c r="K51" s="43"/>
      <c r="L51" s="43"/>
      <c r="M51" s="43"/>
      <c r="N51" s="43"/>
    </row>
    <row r="52" spans="1:14" s="2" customFormat="1" ht="15.6" x14ac:dyDescent="0.3">
      <c r="A52" s="46"/>
      <c r="B52" s="38"/>
      <c r="C52" s="25" t="s">
        <v>56</v>
      </c>
      <c r="D52" s="54"/>
      <c r="E52" s="51"/>
      <c r="F52" s="73"/>
      <c r="G52" s="74"/>
      <c r="H52" s="75"/>
      <c r="I52" s="64"/>
      <c r="J52" s="43"/>
      <c r="K52" s="43"/>
      <c r="L52" s="43"/>
      <c r="M52" s="43"/>
      <c r="N52" s="43"/>
    </row>
    <row r="53" spans="1:14" ht="15" customHeight="1" x14ac:dyDescent="0.3">
      <c r="A53" s="46"/>
      <c r="B53" s="38"/>
      <c r="C53" s="25" t="s">
        <v>57</v>
      </c>
      <c r="D53" s="54"/>
      <c r="E53" s="51"/>
      <c r="F53" s="70" t="s">
        <v>84</v>
      </c>
      <c r="G53" s="71"/>
      <c r="H53" s="72"/>
      <c r="I53" s="64"/>
      <c r="J53" s="43"/>
      <c r="K53" s="43"/>
      <c r="L53" s="43"/>
      <c r="M53" s="43"/>
      <c r="N53" s="43"/>
    </row>
    <row r="54" spans="1:14" ht="17.25" customHeight="1" thickBot="1" x14ac:dyDescent="0.35">
      <c r="A54" s="46"/>
      <c r="B54" s="39"/>
      <c r="C54" s="25" t="s">
        <v>58</v>
      </c>
      <c r="D54" s="55"/>
      <c r="E54" s="52"/>
      <c r="F54" s="76"/>
      <c r="G54" s="77"/>
      <c r="H54" s="78"/>
      <c r="I54" s="66"/>
      <c r="J54" s="44"/>
      <c r="K54" s="44"/>
      <c r="L54" s="44"/>
      <c r="M54" s="44"/>
      <c r="N54" s="44"/>
    </row>
    <row r="55" spans="1:14" ht="15" customHeight="1" x14ac:dyDescent="0.3">
      <c r="A55" s="46"/>
      <c r="B55" s="37" t="s">
        <v>76</v>
      </c>
      <c r="C55" s="56" t="s">
        <v>116</v>
      </c>
      <c r="D55" s="53" t="s">
        <v>113</v>
      </c>
      <c r="E55" s="50">
        <v>0.2</v>
      </c>
      <c r="F55" s="40" t="s">
        <v>64</v>
      </c>
      <c r="G55" s="136" t="s">
        <v>65</v>
      </c>
      <c r="H55" s="137" t="s">
        <v>49</v>
      </c>
      <c r="I55" s="9"/>
      <c r="J55" s="42">
        <v>5</v>
      </c>
      <c r="K55" s="42">
        <v>4.99</v>
      </c>
      <c r="L55" s="42">
        <v>5</v>
      </c>
      <c r="M55" s="42">
        <v>5</v>
      </c>
      <c r="N55" s="42">
        <f>M55*E55</f>
        <v>1</v>
      </c>
    </row>
    <row r="56" spans="1:14" ht="15" customHeight="1" x14ac:dyDescent="0.3">
      <c r="A56" s="46"/>
      <c r="B56" s="38"/>
      <c r="C56" s="57"/>
      <c r="D56" s="54"/>
      <c r="E56" s="51"/>
      <c r="F56" s="41"/>
      <c r="G56" s="60"/>
      <c r="H56" s="62"/>
      <c r="I56" s="10"/>
      <c r="J56" s="43"/>
      <c r="K56" s="43"/>
      <c r="L56" s="43"/>
      <c r="M56" s="43"/>
      <c r="N56" s="43"/>
    </row>
    <row r="57" spans="1:14" ht="15" customHeight="1" x14ac:dyDescent="0.3">
      <c r="A57" s="46"/>
      <c r="B57" s="38"/>
      <c r="C57" s="57"/>
      <c r="D57" s="54"/>
      <c r="E57" s="51"/>
      <c r="F57" s="41"/>
      <c r="G57" s="60"/>
      <c r="H57" s="62"/>
      <c r="I57" s="64" t="s">
        <v>73</v>
      </c>
      <c r="J57" s="43"/>
      <c r="K57" s="43"/>
      <c r="L57" s="43"/>
      <c r="M57" s="43"/>
      <c r="N57" s="43"/>
    </row>
    <row r="58" spans="1:14" ht="15" customHeight="1" x14ac:dyDescent="0.3">
      <c r="A58" s="46"/>
      <c r="B58" s="38"/>
      <c r="C58" s="57"/>
      <c r="D58" s="54"/>
      <c r="E58" s="51"/>
      <c r="F58" s="41"/>
      <c r="G58" s="60"/>
      <c r="H58" s="62"/>
      <c r="I58" s="64"/>
      <c r="J58" s="43"/>
      <c r="K58" s="43"/>
      <c r="L58" s="43"/>
      <c r="M58" s="43"/>
      <c r="N58" s="43"/>
    </row>
    <row r="59" spans="1:14" ht="15" customHeight="1" x14ac:dyDescent="0.3">
      <c r="A59" s="46"/>
      <c r="B59" s="38"/>
      <c r="C59" s="57"/>
      <c r="D59" s="54"/>
      <c r="E59" s="51"/>
      <c r="F59" s="41" t="s">
        <v>66</v>
      </c>
      <c r="G59" s="60" t="s">
        <v>67</v>
      </c>
      <c r="H59" s="62" t="s">
        <v>53</v>
      </c>
      <c r="I59" s="64"/>
      <c r="J59" s="43"/>
      <c r="K59" s="43"/>
      <c r="L59" s="43"/>
      <c r="M59" s="43"/>
      <c r="N59" s="43"/>
    </row>
    <row r="60" spans="1:14" x14ac:dyDescent="0.3">
      <c r="A60" s="46"/>
      <c r="B60" s="38"/>
      <c r="C60" s="57"/>
      <c r="D60" s="54"/>
      <c r="E60" s="51"/>
      <c r="F60" s="41"/>
      <c r="G60" s="60"/>
      <c r="H60" s="62"/>
      <c r="I60" s="64"/>
      <c r="J60" s="43"/>
      <c r="K60" s="43"/>
      <c r="L60" s="43"/>
      <c r="M60" s="43"/>
      <c r="N60" s="43"/>
    </row>
    <row r="61" spans="1:14" ht="15" customHeight="1" x14ac:dyDescent="0.3">
      <c r="A61" s="46"/>
      <c r="B61" s="38"/>
      <c r="C61" s="57"/>
      <c r="D61" s="54"/>
      <c r="E61" s="51"/>
      <c r="F61" s="41"/>
      <c r="G61" s="60"/>
      <c r="H61" s="62"/>
      <c r="I61" s="10"/>
      <c r="J61" s="43"/>
      <c r="K61" s="43"/>
      <c r="L61" s="43"/>
      <c r="M61" s="43"/>
      <c r="N61" s="43"/>
    </row>
    <row r="62" spans="1:14" ht="15" customHeight="1" x14ac:dyDescent="0.3">
      <c r="A62" s="46"/>
      <c r="B62" s="38"/>
      <c r="C62" s="57"/>
      <c r="D62" s="54"/>
      <c r="E62" s="51"/>
      <c r="F62" s="41"/>
      <c r="G62" s="60"/>
      <c r="H62" s="62"/>
      <c r="I62" s="10"/>
      <c r="J62" s="43"/>
      <c r="K62" s="43"/>
      <c r="L62" s="43"/>
      <c r="M62" s="43"/>
      <c r="N62" s="43"/>
    </row>
    <row r="63" spans="1:14" ht="15" customHeight="1" x14ac:dyDescent="0.3">
      <c r="A63" s="46"/>
      <c r="B63" s="38"/>
      <c r="C63" s="57"/>
      <c r="D63" s="54"/>
      <c r="E63" s="51"/>
      <c r="F63" s="41" t="s">
        <v>68</v>
      </c>
      <c r="G63" s="60" t="s">
        <v>54</v>
      </c>
      <c r="H63" s="62" t="s">
        <v>50</v>
      </c>
      <c r="I63" s="64" t="s">
        <v>74</v>
      </c>
      <c r="J63" s="43"/>
      <c r="K63" s="43"/>
      <c r="L63" s="43"/>
      <c r="M63" s="43"/>
      <c r="N63" s="43"/>
    </row>
    <row r="64" spans="1:14" ht="15" customHeight="1" x14ac:dyDescent="0.3">
      <c r="A64" s="46"/>
      <c r="B64" s="38"/>
      <c r="C64" s="57"/>
      <c r="D64" s="54"/>
      <c r="E64" s="51"/>
      <c r="F64" s="41"/>
      <c r="G64" s="60"/>
      <c r="H64" s="62"/>
      <c r="I64" s="64"/>
      <c r="J64" s="43"/>
      <c r="K64" s="43"/>
      <c r="L64" s="43"/>
      <c r="M64" s="43"/>
      <c r="N64" s="43"/>
    </row>
    <row r="65" spans="1:14" ht="15" customHeight="1" x14ac:dyDescent="0.3">
      <c r="A65" s="46"/>
      <c r="B65" s="38"/>
      <c r="C65" s="57"/>
      <c r="D65" s="54"/>
      <c r="E65" s="51"/>
      <c r="F65" s="41"/>
      <c r="G65" s="60"/>
      <c r="H65" s="62"/>
      <c r="I65" s="64"/>
      <c r="J65" s="43"/>
      <c r="K65" s="43"/>
      <c r="L65" s="43"/>
      <c r="M65" s="43"/>
      <c r="N65" s="43"/>
    </row>
    <row r="66" spans="1:14" ht="15" customHeight="1" x14ac:dyDescent="0.3">
      <c r="A66" s="46"/>
      <c r="B66" s="38"/>
      <c r="C66" s="57"/>
      <c r="D66" s="54"/>
      <c r="E66" s="51"/>
      <c r="F66" s="41"/>
      <c r="G66" s="60"/>
      <c r="H66" s="62"/>
      <c r="I66" s="64"/>
      <c r="J66" s="43"/>
      <c r="K66" s="43"/>
      <c r="L66" s="43"/>
      <c r="M66" s="43"/>
      <c r="N66" s="43"/>
    </row>
    <row r="67" spans="1:14" ht="15" customHeight="1" x14ac:dyDescent="0.3">
      <c r="A67" s="46"/>
      <c r="B67" s="38"/>
      <c r="C67" s="57"/>
      <c r="D67" s="54"/>
      <c r="E67" s="51"/>
      <c r="F67" s="41"/>
      <c r="G67" s="60"/>
      <c r="H67" s="62"/>
      <c r="I67" s="10"/>
      <c r="J67" s="43"/>
      <c r="K67" s="43"/>
      <c r="L67" s="43"/>
      <c r="M67" s="43"/>
      <c r="N67" s="43"/>
    </row>
    <row r="68" spans="1:14" ht="15" customHeight="1" x14ac:dyDescent="0.3">
      <c r="A68" s="46"/>
      <c r="B68" s="38"/>
      <c r="C68" s="57"/>
      <c r="D68" s="54"/>
      <c r="E68" s="51"/>
      <c r="F68" s="41" t="s">
        <v>70</v>
      </c>
      <c r="G68" s="60" t="s">
        <v>69</v>
      </c>
      <c r="H68" s="62" t="s">
        <v>51</v>
      </c>
      <c r="I68" s="10"/>
      <c r="J68" s="43"/>
      <c r="K68" s="43"/>
      <c r="L68" s="43"/>
      <c r="M68" s="43"/>
      <c r="N68" s="43"/>
    </row>
    <row r="69" spans="1:14" ht="15" customHeight="1" x14ac:dyDescent="0.3">
      <c r="A69" s="46"/>
      <c r="B69" s="38"/>
      <c r="C69" s="57"/>
      <c r="D69" s="54"/>
      <c r="E69" s="51"/>
      <c r="F69" s="41"/>
      <c r="G69" s="60"/>
      <c r="H69" s="62"/>
      <c r="I69" s="64" t="s">
        <v>75</v>
      </c>
      <c r="J69" s="43"/>
      <c r="K69" s="43"/>
      <c r="L69" s="43"/>
      <c r="M69" s="43"/>
      <c r="N69" s="43"/>
    </row>
    <row r="70" spans="1:14" ht="15" customHeight="1" x14ac:dyDescent="0.3">
      <c r="A70" s="46"/>
      <c r="B70" s="38"/>
      <c r="C70" s="57"/>
      <c r="D70" s="54"/>
      <c r="E70" s="51"/>
      <c r="F70" s="41"/>
      <c r="G70" s="60"/>
      <c r="H70" s="62"/>
      <c r="I70" s="64"/>
      <c r="J70" s="43"/>
      <c r="K70" s="43"/>
      <c r="L70" s="43"/>
      <c r="M70" s="43"/>
      <c r="N70" s="43"/>
    </row>
    <row r="71" spans="1:14" ht="15" customHeight="1" x14ac:dyDescent="0.3">
      <c r="A71" s="46"/>
      <c r="B71" s="38"/>
      <c r="C71" s="57"/>
      <c r="D71" s="54"/>
      <c r="E71" s="51"/>
      <c r="F71" s="41"/>
      <c r="G71" s="60"/>
      <c r="H71" s="62"/>
      <c r="I71" s="64"/>
      <c r="J71" s="43"/>
      <c r="K71" s="43"/>
      <c r="L71" s="43"/>
      <c r="M71" s="43"/>
      <c r="N71" s="43"/>
    </row>
    <row r="72" spans="1:14" ht="15" customHeight="1" x14ac:dyDescent="0.3">
      <c r="A72" s="46"/>
      <c r="B72" s="38"/>
      <c r="C72" s="57"/>
      <c r="D72" s="54"/>
      <c r="E72" s="51"/>
      <c r="F72" s="41" t="s">
        <v>71</v>
      </c>
      <c r="G72" s="60" t="s">
        <v>72</v>
      </c>
      <c r="H72" s="62" t="s">
        <v>52</v>
      </c>
      <c r="I72" s="64"/>
      <c r="J72" s="43"/>
      <c r="K72" s="43"/>
      <c r="L72" s="43"/>
      <c r="M72" s="43"/>
      <c r="N72" s="43"/>
    </row>
    <row r="73" spans="1:14" ht="15" customHeight="1" x14ac:dyDescent="0.3">
      <c r="A73" s="46"/>
      <c r="B73" s="38"/>
      <c r="C73" s="57"/>
      <c r="D73" s="54"/>
      <c r="E73" s="51"/>
      <c r="F73" s="41"/>
      <c r="G73" s="60"/>
      <c r="H73" s="62"/>
      <c r="I73" s="10"/>
      <c r="J73" s="43"/>
      <c r="K73" s="43"/>
      <c r="L73" s="43"/>
      <c r="M73" s="43"/>
      <c r="N73" s="43"/>
    </row>
    <row r="74" spans="1:14" ht="15" customHeight="1" x14ac:dyDescent="0.3">
      <c r="A74" s="46"/>
      <c r="B74" s="38"/>
      <c r="C74" s="57"/>
      <c r="D74" s="54"/>
      <c r="E74" s="51"/>
      <c r="F74" s="41"/>
      <c r="G74" s="60"/>
      <c r="H74" s="62"/>
      <c r="I74" s="10"/>
      <c r="J74" s="43"/>
      <c r="K74" s="43"/>
      <c r="L74" s="43"/>
      <c r="M74" s="43"/>
      <c r="N74" s="43"/>
    </row>
    <row r="75" spans="1:14" ht="15" customHeight="1" thickBot="1" x14ac:dyDescent="0.35">
      <c r="A75" s="47"/>
      <c r="B75" s="39"/>
      <c r="C75" s="58"/>
      <c r="D75" s="55"/>
      <c r="E75" s="52"/>
      <c r="F75" s="59"/>
      <c r="G75" s="61"/>
      <c r="H75" s="63"/>
      <c r="I75" s="11"/>
      <c r="J75" s="44"/>
      <c r="K75" s="44"/>
      <c r="L75" s="44"/>
      <c r="M75" s="44"/>
      <c r="N75" s="44"/>
    </row>
    <row r="76" spans="1:14" ht="15" customHeight="1" x14ac:dyDescent="0.3">
      <c r="A76" s="16"/>
      <c r="B76" s="16"/>
      <c r="C76" s="16"/>
      <c r="D76" s="16"/>
      <c r="E76" s="3"/>
      <c r="F76" s="17"/>
      <c r="G76" s="17"/>
      <c r="H76" s="17"/>
      <c r="I76" s="3"/>
      <c r="J76" s="16"/>
      <c r="K76" s="16"/>
      <c r="L76" s="16"/>
      <c r="M76" s="16"/>
      <c r="N76" s="16"/>
    </row>
    <row r="77" spans="1:14" ht="15" customHeight="1" x14ac:dyDescent="0.3">
      <c r="A77" s="16"/>
      <c r="B77" s="16"/>
      <c r="C77" s="16"/>
      <c r="D77" s="16"/>
      <c r="E77" s="3"/>
      <c r="F77" s="17"/>
      <c r="G77" s="17"/>
      <c r="H77" s="17"/>
      <c r="I77" s="3"/>
      <c r="J77" s="16"/>
      <c r="K77" s="16"/>
      <c r="L77" s="16"/>
      <c r="M77" s="16"/>
      <c r="N77" s="16"/>
    </row>
    <row r="78" spans="1:14" ht="15" customHeight="1" x14ac:dyDescent="0.3">
      <c r="A78" s="16"/>
      <c r="B78" s="16"/>
      <c r="C78" s="16"/>
      <c r="D78" s="16"/>
      <c r="E78" s="3"/>
      <c r="F78" s="17"/>
      <c r="G78" s="17"/>
      <c r="H78" s="17"/>
      <c r="I78" s="3"/>
      <c r="J78" s="16"/>
      <c r="K78" s="16"/>
      <c r="L78" s="16"/>
      <c r="M78" s="16"/>
      <c r="N78" s="16"/>
    </row>
    <row r="79" spans="1:14" ht="15" customHeight="1" x14ac:dyDescent="0.3">
      <c r="A79" s="16"/>
      <c r="B79" s="16"/>
      <c r="C79" s="16"/>
      <c r="D79" s="16"/>
      <c r="E79" s="3"/>
      <c r="F79" s="17"/>
      <c r="G79" s="17"/>
      <c r="H79" s="17"/>
      <c r="I79" s="3"/>
      <c r="J79" s="16"/>
      <c r="K79" s="16"/>
      <c r="L79" s="16"/>
      <c r="M79" s="16"/>
      <c r="N79" s="16"/>
    </row>
    <row r="80" spans="1:14" ht="15" customHeight="1" x14ac:dyDescent="0.3">
      <c r="A80" s="16"/>
      <c r="B80" s="16"/>
      <c r="C80" s="16"/>
      <c r="D80" s="16"/>
      <c r="E80" s="3"/>
      <c r="F80" s="17"/>
      <c r="G80" s="17"/>
      <c r="H80" s="17"/>
      <c r="I80" s="3"/>
      <c r="J80" s="16"/>
      <c r="K80" s="16"/>
      <c r="L80" s="16"/>
      <c r="M80" s="16"/>
      <c r="N80" s="16"/>
    </row>
    <row r="83" spans="1:15" ht="15" thickBot="1" x14ac:dyDescent="0.35"/>
    <row r="84" spans="1:15" ht="25.35" customHeight="1" x14ac:dyDescent="0.3">
      <c r="A84" s="148" t="s">
        <v>63</v>
      </c>
      <c r="B84" s="37" t="s">
        <v>94</v>
      </c>
      <c r="C84" s="48" t="s">
        <v>117</v>
      </c>
      <c r="D84" s="53" t="s">
        <v>113</v>
      </c>
      <c r="E84" s="119">
        <v>0.25</v>
      </c>
      <c r="F84" s="121" t="s">
        <v>85</v>
      </c>
      <c r="G84" s="122"/>
      <c r="H84" s="123"/>
      <c r="I84" s="48" t="s">
        <v>59</v>
      </c>
      <c r="J84" s="42">
        <v>5</v>
      </c>
      <c r="K84" s="42">
        <v>5</v>
      </c>
      <c r="L84" s="42">
        <v>4.99</v>
      </c>
      <c r="M84" s="42">
        <v>5</v>
      </c>
      <c r="N84" s="42">
        <f>M84*E84</f>
        <v>1.25</v>
      </c>
    </row>
    <row r="85" spans="1:15" ht="39.6" customHeight="1" x14ac:dyDescent="0.3">
      <c r="A85" s="149"/>
      <c r="B85" s="38"/>
      <c r="C85" s="49"/>
      <c r="D85" s="54"/>
      <c r="E85" s="120"/>
      <c r="F85" s="142" t="s">
        <v>86</v>
      </c>
      <c r="G85" s="143"/>
      <c r="H85" s="144"/>
      <c r="I85" s="49"/>
      <c r="J85" s="43"/>
      <c r="K85" s="43"/>
      <c r="L85" s="43"/>
      <c r="M85" s="43"/>
      <c r="N85" s="43"/>
    </row>
    <row r="86" spans="1:15" ht="25.2" customHeight="1" x14ac:dyDescent="0.3">
      <c r="A86" s="149"/>
      <c r="B86" s="38"/>
      <c r="C86" s="49"/>
      <c r="D86" s="54"/>
      <c r="E86" s="120"/>
      <c r="F86" s="142" t="s">
        <v>87</v>
      </c>
      <c r="G86" s="143"/>
      <c r="H86" s="144"/>
      <c r="I86" s="49"/>
      <c r="J86" s="43"/>
      <c r="K86" s="43"/>
      <c r="L86" s="43"/>
      <c r="M86" s="43"/>
      <c r="N86" s="43"/>
    </row>
    <row r="87" spans="1:15" ht="25.35" customHeight="1" x14ac:dyDescent="0.3">
      <c r="A87" s="149"/>
      <c r="B87" s="38"/>
      <c r="C87" s="49"/>
      <c r="D87" s="54"/>
      <c r="E87" s="120"/>
      <c r="F87" s="142" t="s">
        <v>88</v>
      </c>
      <c r="G87" s="143"/>
      <c r="H87" s="144"/>
      <c r="I87" s="49"/>
      <c r="J87" s="43"/>
      <c r="K87" s="43"/>
      <c r="L87" s="43"/>
      <c r="M87" s="43"/>
      <c r="N87" s="43"/>
    </row>
    <row r="88" spans="1:15" ht="45" customHeight="1" thickBot="1" x14ac:dyDescent="0.35">
      <c r="A88" s="149"/>
      <c r="B88" s="38"/>
      <c r="C88" s="49"/>
      <c r="D88" s="54"/>
      <c r="E88" s="120"/>
      <c r="F88" s="145" t="s">
        <v>89</v>
      </c>
      <c r="G88" s="146"/>
      <c r="H88" s="147"/>
      <c r="I88" s="49"/>
      <c r="J88" s="43"/>
      <c r="K88" s="43"/>
      <c r="L88" s="43"/>
      <c r="M88" s="43"/>
      <c r="N88" s="43"/>
    </row>
    <row r="89" spans="1:15" ht="25.35" customHeight="1" thickBot="1" x14ac:dyDescent="0.35">
      <c r="A89" s="112" t="s">
        <v>92</v>
      </c>
      <c r="B89" s="113"/>
      <c r="C89" s="114"/>
      <c r="D89" s="115">
        <v>1</v>
      </c>
      <c r="E89" s="114"/>
      <c r="F89" s="112" t="s">
        <v>78</v>
      </c>
      <c r="G89" s="113"/>
      <c r="H89" s="113"/>
      <c r="I89" s="113"/>
      <c r="J89" s="114"/>
      <c r="K89" s="124">
        <f>+N17+N29+N45+N55+N84</f>
        <v>4.9816666666666665</v>
      </c>
      <c r="L89" s="125"/>
      <c r="M89" s="125"/>
      <c r="N89" s="126"/>
      <c r="O89" s="1"/>
    </row>
    <row r="90" spans="1:15" ht="25.35" customHeight="1" thickBot="1" x14ac:dyDescent="0.35">
      <c r="A90" s="30"/>
      <c r="B90" s="31"/>
      <c r="C90" s="31"/>
      <c r="D90" s="32"/>
      <c r="E90" s="31"/>
      <c r="F90" s="113" t="s">
        <v>79</v>
      </c>
      <c r="G90" s="113"/>
      <c r="H90" s="113"/>
      <c r="I90" s="113"/>
      <c r="J90" s="114"/>
      <c r="K90" s="127" t="str">
        <f>IF(AND(K89&gt;=4.5,K89&lt;=5),"OUTSTANDING",IF(AND(K89&gt;=3.5,K89&lt;=4.499),"VERY SATISFACTORY",IF(AND(K89&gt;=2.5,K89&lt;=3.499),"SATISFACTORY",IF(AND(K89&gt;=1.5,K89&lt;=2.499),"UNSATISFACTORY",IF(AND(K89&gt;=1,K89&lt;=1.499),"POOR")))))</f>
        <v>OUTSTANDING</v>
      </c>
      <c r="L90" s="113"/>
      <c r="M90" s="113"/>
      <c r="N90" s="114"/>
    </row>
    <row r="92" spans="1:15" x14ac:dyDescent="0.3">
      <c r="A92" t="s">
        <v>91</v>
      </c>
      <c r="F92" t="s">
        <v>14</v>
      </c>
    </row>
    <row r="93" spans="1:15" ht="18.600000000000001" thickBot="1" x14ac:dyDescent="0.35">
      <c r="A93" s="7" t="s">
        <v>11</v>
      </c>
      <c r="C93" s="1"/>
    </row>
    <row r="94" spans="1:15" ht="15" customHeight="1" x14ac:dyDescent="0.3">
      <c r="A94" s="102" t="s">
        <v>47</v>
      </c>
      <c r="B94" s="103"/>
      <c r="C94" s="106" t="s">
        <v>48</v>
      </c>
    </row>
    <row r="95" spans="1:15" ht="15.75" customHeight="1" thickBot="1" x14ac:dyDescent="0.35">
      <c r="A95" s="104"/>
      <c r="B95" s="105"/>
      <c r="C95" s="107"/>
    </row>
    <row r="96" spans="1:15" ht="15.6" x14ac:dyDescent="0.3">
      <c r="A96" s="108" t="s">
        <v>38</v>
      </c>
      <c r="B96" s="109"/>
      <c r="C96" s="4" t="s">
        <v>43</v>
      </c>
      <c r="I96" s="12"/>
      <c r="J96" s="12"/>
      <c r="K96" s="12"/>
    </row>
    <row r="97" spans="1:14" ht="15.6" x14ac:dyDescent="0.3">
      <c r="A97" s="93" t="s">
        <v>39</v>
      </c>
      <c r="B97" s="94"/>
      <c r="C97" s="5" t="s">
        <v>37</v>
      </c>
      <c r="E97" s="35" t="s">
        <v>103</v>
      </c>
      <c r="G97" s="35"/>
      <c r="H97" s="12"/>
      <c r="I97" s="110" t="s">
        <v>110</v>
      </c>
      <c r="J97" s="110"/>
      <c r="K97" s="110"/>
      <c r="L97" s="110"/>
      <c r="M97" s="110"/>
      <c r="N97" s="110"/>
    </row>
    <row r="98" spans="1:14" ht="15.6" x14ac:dyDescent="0.3">
      <c r="A98" s="93" t="s">
        <v>40</v>
      </c>
      <c r="B98" s="94"/>
      <c r="C98" s="5" t="s">
        <v>44</v>
      </c>
      <c r="E98" s="34" t="s">
        <v>111</v>
      </c>
      <c r="G98" s="15"/>
      <c r="H98" s="14"/>
      <c r="I98" s="111" t="s">
        <v>109</v>
      </c>
      <c r="J98" s="111"/>
      <c r="K98" s="111"/>
      <c r="L98" s="111"/>
      <c r="M98" s="111"/>
      <c r="N98" s="111"/>
    </row>
    <row r="99" spans="1:14" ht="15.6" x14ac:dyDescent="0.3">
      <c r="A99" s="93" t="s">
        <v>41</v>
      </c>
      <c r="B99" s="94"/>
      <c r="C99" s="5" t="s">
        <v>45</v>
      </c>
      <c r="E99" s="33" t="s">
        <v>12</v>
      </c>
      <c r="G99" s="33"/>
      <c r="H99" s="13"/>
      <c r="I99" s="95" t="s">
        <v>13</v>
      </c>
      <c r="J99" s="95"/>
      <c r="K99" s="95"/>
      <c r="L99" s="95"/>
      <c r="M99" s="95"/>
      <c r="N99" s="95"/>
    </row>
    <row r="100" spans="1:14" ht="15" thickBot="1" x14ac:dyDescent="0.35">
      <c r="A100" s="96" t="s">
        <v>42</v>
      </c>
      <c r="B100" s="97"/>
      <c r="C100" s="6" t="s">
        <v>46</v>
      </c>
    </row>
    <row r="102" spans="1:14" x14ac:dyDescent="0.3">
      <c r="C102" s="1"/>
    </row>
  </sheetData>
  <mergeCells count="130">
    <mergeCell ref="A1:M1"/>
    <mergeCell ref="A2:M2"/>
    <mergeCell ref="A3:M3"/>
    <mergeCell ref="A4:M4"/>
    <mergeCell ref="A5:M5"/>
    <mergeCell ref="I84:I88"/>
    <mergeCell ref="G59:G62"/>
    <mergeCell ref="H59:H62"/>
    <mergeCell ref="F59:F62"/>
    <mergeCell ref="B55:B75"/>
    <mergeCell ref="G55:G58"/>
    <mergeCell ref="H55:H58"/>
    <mergeCell ref="A6:M6"/>
    <mergeCell ref="A8:M8"/>
    <mergeCell ref="F15:H15"/>
    <mergeCell ref="J15:M15"/>
    <mergeCell ref="F85:H85"/>
    <mergeCell ref="F86:H86"/>
    <mergeCell ref="F87:H87"/>
    <mergeCell ref="F88:H88"/>
    <mergeCell ref="A84:A88"/>
    <mergeCell ref="B84:B88"/>
    <mergeCell ref="C84:C88"/>
    <mergeCell ref="D84:D88"/>
    <mergeCell ref="E84:E88"/>
    <mergeCell ref="F84:H84"/>
    <mergeCell ref="F89:J89"/>
    <mergeCell ref="K89:N89"/>
    <mergeCell ref="F90:J90"/>
    <mergeCell ref="K90:N90"/>
    <mergeCell ref="G17:G20"/>
    <mergeCell ref="H17:H20"/>
    <mergeCell ref="F21:F24"/>
    <mergeCell ref="G21:G24"/>
    <mergeCell ref="H21:H24"/>
    <mergeCell ref="L17:L28"/>
    <mergeCell ref="M17:M28"/>
    <mergeCell ref="N17:N28"/>
    <mergeCell ref="J29:J40"/>
    <mergeCell ref="K29:K40"/>
    <mergeCell ref="L29:L40"/>
    <mergeCell ref="M29:M40"/>
    <mergeCell ref="N29:N40"/>
    <mergeCell ref="J17:J28"/>
    <mergeCell ref="K17:K28"/>
    <mergeCell ref="J84:J88"/>
    <mergeCell ref="K84:K88"/>
    <mergeCell ref="L84:L88"/>
    <mergeCell ref="M84:M88"/>
    <mergeCell ref="N84:N88"/>
    <mergeCell ref="A99:B99"/>
    <mergeCell ref="I99:N99"/>
    <mergeCell ref="A100:B100"/>
    <mergeCell ref="A15:A16"/>
    <mergeCell ref="B15:B16"/>
    <mergeCell ref="C15:C16"/>
    <mergeCell ref="D15:D16"/>
    <mergeCell ref="E15:E16"/>
    <mergeCell ref="I15:I16"/>
    <mergeCell ref="N15:N16"/>
    <mergeCell ref="A94:B95"/>
    <mergeCell ref="C94:C95"/>
    <mergeCell ref="A96:B96"/>
    <mergeCell ref="A97:B97"/>
    <mergeCell ref="I97:N97"/>
    <mergeCell ref="A98:B98"/>
    <mergeCell ref="I98:N98"/>
    <mergeCell ref="A89:C89"/>
    <mergeCell ref="D89:E89"/>
    <mergeCell ref="B17:B40"/>
    <mergeCell ref="A17:A40"/>
    <mergeCell ref="E17:E28"/>
    <mergeCell ref="E29:E40"/>
    <mergeCell ref="D17:D28"/>
    <mergeCell ref="D29:D40"/>
    <mergeCell ref="C17:C28"/>
    <mergeCell ref="C29:C40"/>
    <mergeCell ref="I29:I32"/>
    <mergeCell ref="I33:I35"/>
    <mergeCell ref="I36:I40"/>
    <mergeCell ref="F29:F32"/>
    <mergeCell ref="G29:G32"/>
    <mergeCell ref="H29:H32"/>
    <mergeCell ref="F33:F36"/>
    <mergeCell ref="G33:G36"/>
    <mergeCell ref="H33:H36"/>
    <mergeCell ref="F25:F28"/>
    <mergeCell ref="G25:G28"/>
    <mergeCell ref="H25:H28"/>
    <mergeCell ref="I17:I20"/>
    <mergeCell ref="I21:I23"/>
    <mergeCell ref="I24:I28"/>
    <mergeCell ref="F17:F20"/>
    <mergeCell ref="E45:E54"/>
    <mergeCell ref="D45:D54"/>
    <mergeCell ref="I45:I54"/>
    <mergeCell ref="J45:J54"/>
    <mergeCell ref="K45:K54"/>
    <mergeCell ref="L45:L54"/>
    <mergeCell ref="M45:M54"/>
    <mergeCell ref="N45:N54"/>
    <mergeCell ref="F45:H46"/>
    <mergeCell ref="F47:H48"/>
    <mergeCell ref="F49:H50"/>
    <mergeCell ref="F51:H52"/>
    <mergeCell ref="F53:H54"/>
    <mergeCell ref="B45:B54"/>
    <mergeCell ref="F55:F58"/>
    <mergeCell ref="J55:J75"/>
    <mergeCell ref="K55:K75"/>
    <mergeCell ref="A45:A75"/>
    <mergeCell ref="C45:C50"/>
    <mergeCell ref="L55:L75"/>
    <mergeCell ref="M55:M75"/>
    <mergeCell ref="N55:N75"/>
    <mergeCell ref="E55:E75"/>
    <mergeCell ref="D55:D75"/>
    <mergeCell ref="C55:C75"/>
    <mergeCell ref="F72:F75"/>
    <mergeCell ref="G72:G75"/>
    <mergeCell ref="H72:H75"/>
    <mergeCell ref="I57:I60"/>
    <mergeCell ref="I63:I66"/>
    <mergeCell ref="I69:I72"/>
    <mergeCell ref="F63:F67"/>
    <mergeCell ref="G63:G67"/>
    <mergeCell ref="H63:H67"/>
    <mergeCell ref="F68:F71"/>
    <mergeCell ref="G68:G71"/>
    <mergeCell ref="H68:H71"/>
  </mergeCells>
  <pageMargins left="0.5" right="0.3" top="0.25" bottom="0.25" header="0.3" footer="0.3"/>
  <pageSetup paperSize="14" scale="96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Raine-IPCRF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1</cp:lastModifiedBy>
  <cp:lastPrinted>2026-05-14T09:29:09Z</cp:lastPrinted>
  <dcterms:created xsi:type="dcterms:W3CDTF">2017-04-16T08:11:45Z</dcterms:created>
  <dcterms:modified xsi:type="dcterms:W3CDTF">2026-05-14T09:29:13Z</dcterms:modified>
</cp:coreProperties>
</file>